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mas\Documents\"/>
    </mc:Choice>
  </mc:AlternateContent>
  <xr:revisionPtr revIDLastSave="0" documentId="13_ncr:1_{DA69415A-2C23-48DE-A07D-4C7952E4241F}" xr6:coauthVersionLast="43" xr6:coauthVersionMax="43" xr10:uidLastSave="{00000000-0000-0000-0000-000000000000}"/>
  <bookViews>
    <workbookView xWindow="-120" yWindow="-120" windowWidth="29040" windowHeight="15840" xr2:uid="{F5655309-729F-4529-93A9-ED95B6EA3346}"/>
  </bookViews>
  <sheets>
    <sheet name="Snittutregning" sheetId="1" r:id="rId1"/>
  </sheets>
  <definedNames>
    <definedName name="Mål" comment="Sett målet for karakterene her. Default er 4.5">Snittutregning!$L$6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7" i="1" l="1"/>
  <c r="B17" i="1"/>
  <c r="E17" i="1"/>
  <c r="L3" i="1"/>
  <c r="L5" i="1" s="1"/>
  <c r="L7" i="1" l="1"/>
  <c r="L9" i="1"/>
  <c r="L10" i="1" s="1"/>
  <c r="O6" i="1" l="1"/>
  <c r="O7" i="1"/>
  <c r="O10" i="1"/>
  <c r="O8" i="1"/>
  <c r="O9" i="1"/>
</calcChain>
</file>

<file path=xl/sharedStrings.xml><?xml version="1.0" encoding="utf-8"?>
<sst xmlns="http://schemas.openxmlformats.org/spreadsheetml/2006/main" count="55" uniqueCount="46">
  <si>
    <t>Standspunkter</t>
  </si>
  <si>
    <t>Norsk</t>
  </si>
  <si>
    <t>VG1</t>
  </si>
  <si>
    <t>Engelsk</t>
  </si>
  <si>
    <t>Naturfag</t>
  </si>
  <si>
    <t>VG2</t>
  </si>
  <si>
    <t>Mediesamfunnet</t>
  </si>
  <si>
    <t>Medieuttrykk</t>
  </si>
  <si>
    <t>Samfunnsfag</t>
  </si>
  <si>
    <t>Geografi</t>
  </si>
  <si>
    <t>Mål</t>
  </si>
  <si>
    <t>Historie</t>
  </si>
  <si>
    <t>Programfag</t>
  </si>
  <si>
    <t>Religion</t>
  </si>
  <si>
    <t>Kroppsøving</t>
  </si>
  <si>
    <t>Karakter</t>
  </si>
  <si>
    <t>Gjenstående</t>
  </si>
  <si>
    <t>Gjennomsnitt</t>
  </si>
  <si>
    <t>Alle tre årene</t>
  </si>
  <si>
    <t>Hvor mange karakterer må 1 opp</t>
  </si>
  <si>
    <t>Hvor mange karakterer må 2 opp</t>
  </si>
  <si>
    <t>Hvor mange karakterer må 3 opp</t>
  </si>
  <si>
    <t>Hvor mange karakterer må 4 opp</t>
  </si>
  <si>
    <t>Hvor mange karakterer må 5 opp</t>
  </si>
  <si>
    <t>Matematikk</t>
  </si>
  <si>
    <t>Mattematikk</t>
  </si>
  <si>
    <t>Språk</t>
  </si>
  <si>
    <t>Hvordan bruke arket:</t>
  </si>
  <si>
    <t>Eksamen</t>
  </si>
  <si>
    <t>Sett målet for gjennomsnittskarakteren (Svart felt)</t>
  </si>
  <si>
    <t>Planlegg hvordan du kan endre karakterene dine for å få målet oppfyllt (Røde felt)</t>
  </si>
  <si>
    <t>Norsk sidemål</t>
  </si>
  <si>
    <t>Norsk muntlig</t>
  </si>
  <si>
    <t>Eksamen (Fysikk)</t>
  </si>
  <si>
    <t>Eksamen (Mediesamf)</t>
  </si>
  <si>
    <t>Eksamen (Norsk)</t>
  </si>
  <si>
    <t>Eksamen (Historie)</t>
  </si>
  <si>
    <t>Plusspoeng</t>
  </si>
  <si>
    <t>Med poeng</t>
  </si>
  <si>
    <t>Sjekk konkurransepoengene som teller på høyere utdanning (blå felt)</t>
  </si>
  <si>
    <t>Konkurransepoeng</t>
  </si>
  <si>
    <t>Sett opp fagene du har og karakterene til det du får (grønne felt)</t>
  </si>
  <si>
    <t>VG3</t>
  </si>
  <si>
    <t>Antall Karakterer</t>
  </si>
  <si>
    <t>Programfag 1</t>
  </si>
  <si>
    <t>Programfag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</si>
</sst>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3" fillId="4" borderId="1" applyNumberFormat="0" applyAlignment="0" applyProtection="0"/>
    <xf numFmtId="0" fontId="4" fillId="5" borderId="0" applyNumberFormat="0" applyBorder="0" applyAlignment="0" applyProtection="0"/>
    <xf numFmtId="0" fontId="5" fillId="6" borderId="2" applyNumberFormat="0" applyAlignment="0" applyProtection="0"/>
    <xf numFmtId="0" fontId="6" fillId="7" borderId="3" applyNumberFormat="0" applyFont="0" applyAlignment="0" applyProtection="0"/>
    <xf numFmtId="0" fontId="6" fillId="8" borderId="0" applyNumberFormat="0" applyBorder="0" applyAlignment="0" applyProtection="0"/>
  </cellStyleXfs>
  <cellXfs count="25">
    <xf numFmtId="0" fontId="0" fillId="0" borderId="0" xfId="0"/>
    <xf numFmtId="0" fontId="0" fillId="7" borderId="3" xfId="6" applyFont="1"/>
    <xf numFmtId="0" fontId="6" fillId="8" borderId="4" xfId="7" applyBorder="1"/>
    <xf numFmtId="0" fontId="0" fillId="0" borderId="0" xfId="0" applyBorder="1"/>
    <xf numFmtId="0" fontId="1" fillId="2" borderId="0" xfId="1" applyBorder="1"/>
    <xf numFmtId="0" fontId="0" fillId="0" borderId="5" xfId="0" applyBorder="1"/>
    <xf numFmtId="0" fontId="2" fillId="3" borderId="6" xfId="2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3" fillId="4" borderId="1" xfId="3" applyBorder="1"/>
    <xf numFmtId="0" fontId="2" fillId="3" borderId="1" xfId="2" applyBorder="1"/>
    <xf numFmtId="0" fontId="5" fillId="6" borderId="2" xfId="5" applyBorder="1"/>
    <xf numFmtId="0" fontId="0" fillId="7" borderId="3" xfId="6" applyFont="1" applyBorder="1"/>
    <xf numFmtId="0" fontId="4" fillId="5" borderId="11" xfId="4" applyBorder="1"/>
    <xf numFmtId="0" fontId="4" fillId="5" borderId="11" xfId="4" applyBorder="1" applyAlignment="1">
      <alignment wrapText="1"/>
    </xf>
    <xf numFmtId="0" fontId="0" fillId="0" borderId="0" xfId="0" applyFill="1" applyBorder="1"/>
  </cellXfs>
  <cellStyles count="8">
    <cellStyle name="20% - Accent1" xfId="7" builtinId="30"/>
    <cellStyle name="Bad" xfId="4" builtinId="27"/>
    <cellStyle name="Calculation" xfId="3" builtinId="22"/>
    <cellStyle name="Check Cell" xfId="5" builtinId="23"/>
    <cellStyle name="Good" xfId="1" builtinId="26"/>
    <cellStyle name="Input" xfId="2" builtinId="20"/>
    <cellStyle name="Normal" xfId="0" builtinId="0"/>
    <cellStyle name="Note" xfId="6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DA5AE-1868-483D-9847-EF06CD7F195B}">
  <sheetPr>
    <tabColor theme="0"/>
  </sheetPr>
  <dimension ref="A1:O24"/>
  <sheetViews>
    <sheetView tabSelected="1" zoomScale="130" zoomScaleNormal="130" workbookViewId="0">
      <selection activeCell="C22" sqref="C22"/>
    </sheetView>
  </sheetViews>
  <sheetFormatPr defaultRowHeight="15" x14ac:dyDescent="0.25"/>
  <cols>
    <col min="1" max="1" width="16.5703125" customWidth="1"/>
    <col min="3" max="3" width="11.140625" bestFit="1" customWidth="1"/>
    <col min="4" max="4" width="16.28515625" customWidth="1"/>
    <col min="6" max="6" width="11.140625" bestFit="1" customWidth="1"/>
    <col min="7" max="7" width="20.28515625" customWidth="1"/>
    <col min="9" max="9" width="11.140625" bestFit="1" customWidth="1"/>
    <col min="11" max="11" width="18" bestFit="1" customWidth="1"/>
    <col min="14" max="14" width="29.7109375" customWidth="1"/>
  </cols>
  <sheetData>
    <row r="1" spans="1:15" x14ac:dyDescent="0.25">
      <c r="A1" s="7" t="s">
        <v>0</v>
      </c>
      <c r="B1" s="8"/>
      <c r="C1" s="8"/>
      <c r="D1" s="8"/>
      <c r="E1" s="8"/>
      <c r="F1" s="8"/>
      <c r="G1" s="8"/>
      <c r="H1" s="8"/>
      <c r="I1" s="9"/>
      <c r="J1" s="14"/>
      <c r="K1" s="15"/>
      <c r="L1" s="15"/>
      <c r="M1" s="15"/>
      <c r="N1" s="16"/>
      <c r="O1" s="17"/>
    </row>
    <row r="2" spans="1:15" x14ac:dyDescent="0.25">
      <c r="A2" s="10" t="s">
        <v>2</v>
      </c>
      <c r="B2" s="3" t="s">
        <v>15</v>
      </c>
      <c r="C2" s="3" t="s">
        <v>37</v>
      </c>
      <c r="D2" s="3" t="s">
        <v>5</v>
      </c>
      <c r="E2" s="3" t="s">
        <v>15</v>
      </c>
      <c r="F2" s="3" t="s">
        <v>37</v>
      </c>
      <c r="G2" s="3" t="s">
        <v>42</v>
      </c>
      <c r="H2" s="3" t="s">
        <v>15</v>
      </c>
      <c r="I2" s="11" t="s">
        <v>37</v>
      </c>
      <c r="J2" s="10"/>
      <c r="K2" s="3"/>
      <c r="L2" s="3"/>
      <c r="M2" s="3"/>
      <c r="N2" s="3"/>
      <c r="O2" s="11"/>
    </row>
    <row r="3" spans="1:15" x14ac:dyDescent="0.25">
      <c r="A3" s="10" t="s">
        <v>25</v>
      </c>
      <c r="B3" s="4">
        <v>1</v>
      </c>
      <c r="C3" s="3"/>
      <c r="D3" s="3" t="s">
        <v>26</v>
      </c>
      <c r="E3" s="4">
        <v>1</v>
      </c>
      <c r="F3" s="3"/>
      <c r="G3" s="3" t="s">
        <v>11</v>
      </c>
      <c r="H3" s="4">
        <v>1</v>
      </c>
      <c r="I3" s="11"/>
      <c r="J3" s="10"/>
      <c r="K3" s="3" t="s">
        <v>43</v>
      </c>
      <c r="L3" s="18">
        <f>COUNTA(H3:H16)+COUNTA(E3:E15)+COUNTA(B3:B15)</f>
        <v>27</v>
      </c>
      <c r="M3" s="3"/>
      <c r="N3" s="3"/>
      <c r="O3" s="11"/>
    </row>
    <row r="4" spans="1:15" x14ac:dyDescent="0.25">
      <c r="A4" s="10" t="s">
        <v>6</v>
      </c>
      <c r="B4" s="4">
        <v>1</v>
      </c>
      <c r="C4" s="3"/>
      <c r="D4" s="3" t="s">
        <v>6</v>
      </c>
      <c r="E4" s="4">
        <v>1</v>
      </c>
      <c r="F4" s="3"/>
      <c r="G4" s="3" t="s">
        <v>31</v>
      </c>
      <c r="H4" s="4">
        <v>1</v>
      </c>
      <c r="I4" s="11"/>
      <c r="J4" s="10"/>
      <c r="K4" s="3"/>
      <c r="L4" s="3"/>
      <c r="M4" s="3"/>
      <c r="N4" s="3"/>
      <c r="O4" s="11"/>
    </row>
    <row r="5" spans="1:15" ht="15.75" thickBot="1" x14ac:dyDescent="0.3">
      <c r="A5" s="10" t="s">
        <v>7</v>
      </c>
      <c r="B5" s="4">
        <v>1</v>
      </c>
      <c r="C5" s="3"/>
      <c r="D5" s="3" t="s">
        <v>7</v>
      </c>
      <c r="E5" s="4">
        <v>1</v>
      </c>
      <c r="F5" s="3"/>
      <c r="G5" s="3" t="s">
        <v>32</v>
      </c>
      <c r="H5" s="4">
        <v>1</v>
      </c>
      <c r="I5" s="11"/>
      <c r="J5" s="10"/>
      <c r="K5" s="3" t="s">
        <v>18</v>
      </c>
      <c r="L5" s="19">
        <f>(SUM(B3:B14)+SUM(E3:E14)+SUM(H3:H16))/L3</f>
        <v>1</v>
      </c>
      <c r="M5" s="3"/>
      <c r="N5" s="3"/>
      <c r="O5" s="11"/>
    </row>
    <row r="6" spans="1:15" ht="16.5" thickTop="1" thickBot="1" x14ac:dyDescent="0.3">
      <c r="A6" s="10" t="s">
        <v>3</v>
      </c>
      <c r="B6" s="4">
        <v>1</v>
      </c>
      <c r="C6" s="3"/>
      <c r="D6" s="3" t="s">
        <v>8</v>
      </c>
      <c r="E6" s="4">
        <v>1</v>
      </c>
      <c r="F6" s="3"/>
      <c r="G6" s="3" t="s">
        <v>1</v>
      </c>
      <c r="H6" s="4">
        <v>1</v>
      </c>
      <c r="I6" s="11"/>
      <c r="J6" s="10"/>
      <c r="K6" s="3" t="s">
        <v>10</v>
      </c>
      <c r="L6" s="20">
        <v>4.5</v>
      </c>
      <c r="M6" s="3"/>
      <c r="N6" s="21" t="s">
        <v>19</v>
      </c>
      <c r="O6" s="22">
        <f>IF(MOD(L7*L3,1)=0,L7*L3/1,INT(L7*L3/1)+1)</f>
        <v>95</v>
      </c>
    </row>
    <row r="7" spans="1:15" ht="15.75" thickTop="1" x14ac:dyDescent="0.25">
      <c r="A7" s="10" t="s">
        <v>4</v>
      </c>
      <c r="B7" s="4">
        <v>1</v>
      </c>
      <c r="C7" s="3"/>
      <c r="D7" s="3" t="s">
        <v>12</v>
      </c>
      <c r="E7" s="4">
        <v>1</v>
      </c>
      <c r="F7" s="3">
        <v>0.5</v>
      </c>
      <c r="G7" s="3" t="s">
        <v>6</v>
      </c>
      <c r="H7" s="4">
        <v>1</v>
      </c>
      <c r="I7" s="11"/>
      <c r="J7" s="10"/>
      <c r="K7" s="3" t="s">
        <v>16</v>
      </c>
      <c r="L7" s="18">
        <f xml:space="preserve"> L6-L5</f>
        <v>3.5</v>
      </c>
      <c r="M7" s="3"/>
      <c r="N7" s="21" t="s">
        <v>20</v>
      </c>
      <c r="O7" s="22">
        <f>IF(MOD(L7*L3,2)=0,L7*L3/2,INT(L7*L3/2)+1)</f>
        <v>48</v>
      </c>
    </row>
    <row r="8" spans="1:15" x14ac:dyDescent="0.25">
      <c r="A8" s="10" t="s">
        <v>28</v>
      </c>
      <c r="B8" s="4"/>
      <c r="C8" s="3"/>
      <c r="D8" s="3" t="s">
        <v>24</v>
      </c>
      <c r="E8" s="4">
        <v>1</v>
      </c>
      <c r="F8" s="3">
        <v>0.5</v>
      </c>
      <c r="G8" s="3" t="s">
        <v>7</v>
      </c>
      <c r="H8" s="4">
        <v>1</v>
      </c>
      <c r="I8" s="11"/>
      <c r="J8" s="10"/>
      <c r="K8" s="3"/>
      <c r="L8" s="3"/>
      <c r="M8" s="3"/>
      <c r="N8" s="21" t="s">
        <v>21</v>
      </c>
      <c r="O8" s="22">
        <f>IF(MOD(L7*L3,3)=0,L7*L3/3,INT(L7*L3/3)+1)</f>
        <v>32</v>
      </c>
    </row>
    <row r="9" spans="1:15" x14ac:dyDescent="0.25">
      <c r="A9" s="10"/>
      <c r="B9" s="3"/>
      <c r="C9" s="3"/>
      <c r="D9" s="3" t="s">
        <v>9</v>
      </c>
      <c r="E9" s="4">
        <v>1</v>
      </c>
      <c r="F9" s="3"/>
      <c r="G9" s="3" t="s">
        <v>44</v>
      </c>
      <c r="H9" s="4">
        <v>1</v>
      </c>
      <c r="I9" s="11">
        <v>1</v>
      </c>
      <c r="J9" s="10"/>
      <c r="K9" s="3" t="s">
        <v>38</v>
      </c>
      <c r="L9" s="3">
        <f>(L5*10+SUM(I3:I12)+SUM(F3:F15)+SUM(C3:C15))/10</f>
        <v>1.3</v>
      </c>
      <c r="M9" s="3"/>
      <c r="N9" s="21" t="s">
        <v>22</v>
      </c>
      <c r="O9" s="22">
        <f>IF(MOD(L7*L3,4)=0,L7*L3/4,INT(L7*L3/4)+1)</f>
        <v>24</v>
      </c>
    </row>
    <row r="10" spans="1:15" ht="15" customHeight="1" thickBot="1" x14ac:dyDescent="0.3">
      <c r="A10" s="10"/>
      <c r="B10" s="3"/>
      <c r="C10" s="3"/>
      <c r="D10" s="3" t="s">
        <v>28</v>
      </c>
      <c r="E10" s="4">
        <v>1</v>
      </c>
      <c r="F10" s="3"/>
      <c r="G10" s="3" t="s">
        <v>45</v>
      </c>
      <c r="H10" s="4">
        <v>1</v>
      </c>
      <c r="I10" s="11">
        <v>1</v>
      </c>
      <c r="J10" s="10"/>
      <c r="K10" s="3" t="s">
        <v>40</v>
      </c>
      <c r="L10" s="2">
        <f>L9*10</f>
        <v>13</v>
      </c>
      <c r="M10" s="24"/>
      <c r="N10" s="21" t="s">
        <v>23</v>
      </c>
      <c r="O10" s="23">
        <f>IF(MOD(L7*L3,5)=0,L7*L3/5,INT(L7*L3/5)+1)</f>
        <v>19</v>
      </c>
    </row>
    <row r="11" spans="1:15" ht="15.75" thickTop="1" x14ac:dyDescent="0.25">
      <c r="A11" s="10"/>
      <c r="B11" s="3"/>
      <c r="C11" s="3"/>
      <c r="D11" s="3"/>
      <c r="E11" s="3"/>
      <c r="F11" s="3"/>
      <c r="G11" s="3" t="s">
        <v>13</v>
      </c>
      <c r="H11" s="4">
        <v>1</v>
      </c>
      <c r="I11" s="11"/>
      <c r="J11" s="10"/>
      <c r="K11" s="3"/>
      <c r="L11" s="3"/>
      <c r="M11" s="3"/>
      <c r="N11" s="3"/>
      <c r="O11" s="11"/>
    </row>
    <row r="12" spans="1:15" x14ac:dyDescent="0.25">
      <c r="A12" s="10"/>
      <c r="B12" s="3"/>
      <c r="C12" s="3"/>
      <c r="D12" s="3"/>
      <c r="E12" s="3"/>
      <c r="F12" s="3"/>
      <c r="G12" s="3" t="s">
        <v>14</v>
      </c>
      <c r="H12" s="4">
        <v>1</v>
      </c>
      <c r="I12" s="11"/>
      <c r="J12" s="10"/>
      <c r="K12" s="3"/>
      <c r="L12" s="3"/>
      <c r="M12" s="3"/>
      <c r="N12" s="3"/>
      <c r="O12" s="11"/>
    </row>
    <row r="13" spans="1:15" x14ac:dyDescent="0.25">
      <c r="A13" s="10"/>
      <c r="B13" s="3"/>
      <c r="C13" s="3"/>
      <c r="D13" s="3"/>
      <c r="E13" s="3"/>
      <c r="F13" s="3"/>
      <c r="G13" s="3" t="s">
        <v>33</v>
      </c>
      <c r="H13" s="4">
        <v>1</v>
      </c>
      <c r="I13" s="11"/>
      <c r="J13" s="10"/>
      <c r="K13" s="3"/>
      <c r="L13" s="3"/>
      <c r="M13" s="3"/>
      <c r="N13" s="3"/>
      <c r="O13" s="11"/>
    </row>
    <row r="14" spans="1:15" x14ac:dyDescent="0.25">
      <c r="A14" s="10"/>
      <c r="B14" s="3"/>
      <c r="C14" s="3"/>
      <c r="D14" s="3"/>
      <c r="E14" s="3"/>
      <c r="F14" s="3"/>
      <c r="G14" s="3" t="s">
        <v>34</v>
      </c>
      <c r="H14" s="4">
        <v>1</v>
      </c>
      <c r="I14" s="11"/>
      <c r="J14" s="10"/>
      <c r="K14" s="3"/>
      <c r="L14" s="3"/>
      <c r="M14" s="3"/>
      <c r="N14" s="3"/>
      <c r="O14" s="11"/>
    </row>
    <row r="15" spans="1:15" x14ac:dyDescent="0.25">
      <c r="A15" s="10"/>
      <c r="B15" s="3"/>
      <c r="C15" s="3"/>
      <c r="D15" s="3"/>
      <c r="E15" s="3"/>
      <c r="F15" s="3"/>
      <c r="G15" s="3" t="s">
        <v>36</v>
      </c>
      <c r="H15" s="4">
        <v>1</v>
      </c>
      <c r="I15" s="11"/>
      <c r="J15" s="10"/>
      <c r="K15" s="3"/>
      <c r="L15" s="3"/>
      <c r="M15" s="3"/>
      <c r="N15" s="3"/>
      <c r="O15" s="11"/>
    </row>
    <row r="16" spans="1:15" x14ac:dyDescent="0.25">
      <c r="A16" s="10"/>
      <c r="B16" s="3"/>
      <c r="C16" s="3"/>
      <c r="D16" s="3"/>
      <c r="E16" s="3"/>
      <c r="F16" s="3"/>
      <c r="G16" s="3" t="s">
        <v>35</v>
      </c>
      <c r="H16" s="4">
        <v>1</v>
      </c>
      <c r="I16" s="11"/>
      <c r="J16" s="10"/>
      <c r="K16" s="3"/>
      <c r="L16" s="3"/>
      <c r="M16" s="3"/>
      <c r="N16" s="3"/>
      <c r="O16" s="11"/>
    </row>
    <row r="17" spans="1:15" x14ac:dyDescent="0.25">
      <c r="A17" s="12" t="s">
        <v>17</v>
      </c>
      <c r="B17" s="6">
        <f>AVERAGE(B3:B16)</f>
        <v>1</v>
      </c>
      <c r="C17" s="5"/>
      <c r="D17" s="5"/>
      <c r="E17" s="6">
        <f>AVERAGE(E3:E16)</f>
        <v>1</v>
      </c>
      <c r="F17" s="5"/>
      <c r="G17" s="5"/>
      <c r="H17" s="6">
        <f>AVERAGE(H3:H16)</f>
        <v>1</v>
      </c>
      <c r="I17" s="13"/>
      <c r="J17" s="12"/>
      <c r="K17" s="5"/>
      <c r="L17" s="5"/>
      <c r="M17" s="5"/>
      <c r="N17" s="5"/>
      <c r="O17" s="13"/>
    </row>
    <row r="20" spans="1:15" x14ac:dyDescent="0.25">
      <c r="F20" s="1"/>
      <c r="G20" s="1" t="s">
        <v>27</v>
      </c>
      <c r="H20" s="1"/>
      <c r="I20" s="1"/>
      <c r="J20" s="1"/>
      <c r="K20" s="1"/>
      <c r="L20" s="1"/>
      <c r="M20" s="1"/>
    </row>
    <row r="21" spans="1:15" x14ac:dyDescent="0.25">
      <c r="F21" s="1">
        <v>1</v>
      </c>
      <c r="G21" s="1" t="s">
        <v>41</v>
      </c>
      <c r="H21" s="1"/>
      <c r="I21" s="1"/>
      <c r="J21" s="1"/>
      <c r="K21" s="1"/>
      <c r="L21" s="1"/>
      <c r="M21" s="1"/>
    </row>
    <row r="22" spans="1:15" x14ac:dyDescent="0.25">
      <c r="F22" s="1">
        <v>2</v>
      </c>
      <c r="G22" s="1" t="s">
        <v>29</v>
      </c>
      <c r="H22" s="1"/>
      <c r="I22" s="1"/>
      <c r="J22" s="1"/>
      <c r="K22" s="1"/>
      <c r="L22" s="1"/>
      <c r="M22" s="1"/>
    </row>
    <row r="23" spans="1:15" x14ac:dyDescent="0.25">
      <c r="F23" s="1">
        <v>3</v>
      </c>
      <c r="G23" s="1" t="s">
        <v>30</v>
      </c>
      <c r="H23" s="1"/>
      <c r="I23" s="1"/>
      <c r="J23" s="1"/>
      <c r="K23" s="1"/>
      <c r="L23" s="1"/>
      <c r="M23" s="1"/>
    </row>
    <row r="24" spans="1:15" x14ac:dyDescent="0.25">
      <c r="F24" s="1">
        <v>4</v>
      </c>
      <c r="G24" s="1" t="s">
        <v>39</v>
      </c>
      <c r="H24" s="1"/>
      <c r="I24" s="1"/>
      <c r="J24" s="1"/>
      <c r="K24" s="1"/>
      <c r="L24" s="1"/>
      <c r="M24" s="1"/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Snittutregning</vt:lpstr>
      <vt:lpstr>Mål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Thomas</cp:lastModifiedBy>
  <dcterms:created xsi:type="dcterms:W3CDTF">2018-04-28T15:27:09Z</dcterms:created>
  <dcterms:modified xsi:type="dcterms:W3CDTF">2019-06-27T19:02:36Z</dcterms:modified>
</cp:coreProperties>
</file>